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34675\OneDrive\Escritorio\"/>
    </mc:Choice>
  </mc:AlternateContent>
  <bookViews>
    <workbookView xWindow="0" yWindow="0" windowWidth="28800" windowHeight="11610"/>
  </bookViews>
  <sheets>
    <sheet name="Bote" sheetId="9" r:id="rId1"/>
  </sheets>
  <definedNames>
    <definedName name="_xlnm._FilterDatabase" localSheetId="0" hidden="1">Bote!$E$2:$AR$14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9" l="1"/>
  <c r="B3" i="9"/>
  <c r="B4" i="9"/>
  <c r="B5" i="9"/>
  <c r="B6" i="9"/>
  <c r="B7" i="9"/>
  <c r="B8" i="9"/>
  <c r="B9" i="9"/>
  <c r="B10" i="9"/>
  <c r="B11" i="9"/>
  <c r="B12" i="9"/>
  <c r="B13" i="9"/>
  <c r="N21" i="9" l="1"/>
  <c r="F10" i="9"/>
  <c r="F9" i="9"/>
  <c r="F7" i="9"/>
  <c r="F3" i="9"/>
  <c r="F14" i="9"/>
  <c r="D3" i="9" l="1"/>
  <c r="N22" i="9"/>
  <c r="C10" i="9"/>
  <c r="D10" i="9"/>
  <c r="F11" i="9"/>
  <c r="D6" i="9"/>
  <c r="C4" i="9" l="1"/>
  <c r="C5" i="9"/>
  <c r="C6" i="9"/>
  <c r="C7" i="9"/>
  <c r="C8" i="9"/>
  <c r="C9" i="9"/>
  <c r="C11" i="9"/>
  <c r="C12" i="9"/>
  <c r="C13" i="9"/>
  <c r="C14" i="9"/>
  <c r="C3" i="9"/>
  <c r="D13" i="9"/>
  <c r="D4" i="9"/>
  <c r="D5" i="9"/>
  <c r="D7" i="9"/>
  <c r="D8" i="9"/>
  <c r="D9" i="9"/>
  <c r="D11" i="9"/>
  <c r="D12" i="9"/>
  <c r="D14" i="9"/>
  <c r="F6" i="9"/>
  <c r="F8" i="9"/>
  <c r="F5" i="9"/>
  <c r="F12" i="9"/>
  <c r="F4" i="9"/>
  <c r="F13" i="9"/>
  <c r="F17" i="9" l="1"/>
</calcChain>
</file>

<file path=xl/sharedStrings.xml><?xml version="1.0" encoding="utf-8"?>
<sst xmlns="http://schemas.openxmlformats.org/spreadsheetml/2006/main" count="21" uniqueCount="21">
  <si>
    <t>Imanol</t>
  </si>
  <si>
    <t>PJ</t>
  </si>
  <si>
    <t>CB</t>
  </si>
  <si>
    <t>Luis E</t>
  </si>
  <si>
    <t>Nachota</t>
  </si>
  <si>
    <t>Ted Lasso</t>
  </si>
  <si>
    <t>Fabien</t>
  </si>
  <si>
    <t>Clifford</t>
  </si>
  <si>
    <t>Disci</t>
  </si>
  <si>
    <t>Adeuda</t>
  </si>
  <si>
    <t>BOTE</t>
  </si>
  <si>
    <t>Últ</t>
  </si>
  <si>
    <t>Prim</t>
  </si>
  <si>
    <t>Pag</t>
  </si>
  <si>
    <t xml:space="preserve"> </t>
  </si>
  <si>
    <t>Bote Total</t>
  </si>
  <si>
    <t>Coste por persona</t>
  </si>
  <si>
    <t>Ajedrecista</t>
  </si>
  <si>
    <t>Pressing</t>
  </si>
  <si>
    <t>Bonilla</t>
  </si>
  <si>
    <t>Bucaneros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</si>
</sst>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21">
    <dxf>
      <font>
        <color theme="1"/>
      </font>
      <fill>
        <patternFill>
          <bgColor rgb="FFEE6060"/>
        </patternFill>
      </fill>
    </dxf>
    <dxf>
      <font>
        <color theme="1"/>
      </font>
      <fill>
        <patternFill>
          <bgColor rgb="FFF3715B"/>
        </patternFill>
      </fill>
    </dxf>
    <dxf>
      <font>
        <color theme="1"/>
      </font>
      <fill>
        <patternFill>
          <bgColor rgb="FFFF9966"/>
        </patternFill>
      </fill>
    </dxf>
    <dxf>
      <font>
        <color theme="1"/>
      </font>
      <fill>
        <patternFill>
          <bgColor rgb="FFFFCC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CEA9C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EE6060"/>
        </patternFill>
      </fill>
    </dxf>
    <dxf>
      <font>
        <color theme="1"/>
      </font>
      <fill>
        <patternFill>
          <bgColor rgb="FFF3715B"/>
        </patternFill>
      </fill>
    </dxf>
    <dxf>
      <font>
        <color theme="1"/>
      </font>
      <fill>
        <patternFill>
          <bgColor rgb="FFFF9966"/>
        </patternFill>
      </fill>
    </dxf>
    <dxf>
      <font>
        <color theme="1"/>
      </font>
      <fill>
        <patternFill>
          <bgColor rgb="FFFFCC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CEA9C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EE6060"/>
        </patternFill>
      </fill>
    </dxf>
    <dxf>
      <font>
        <color theme="1"/>
      </font>
      <fill>
        <patternFill>
          <bgColor rgb="FFF3715B"/>
        </patternFill>
      </fill>
    </dxf>
    <dxf>
      <font>
        <color theme="1"/>
      </font>
      <fill>
        <patternFill>
          <bgColor rgb="FFFF9966"/>
        </patternFill>
      </fill>
    </dxf>
    <dxf>
      <font>
        <color theme="1"/>
      </font>
      <fill>
        <patternFill>
          <bgColor rgb="FFFFCC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CEA9C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2929"/>
      <color rgb="FFEE6060"/>
      <color rgb="FFFCEA9C"/>
      <color rgb="FFFFCC66"/>
      <color rgb="FFFF9966"/>
      <color rgb="FFF3715B"/>
      <color rgb="FFFFEDA3"/>
      <color rgb="FFFFD893"/>
      <color rgb="FFFFAE89"/>
      <color rgb="FFFF85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26"/>
  <sheetViews>
    <sheetView tabSelected="1" workbookViewId="0">
      <selection activeCell="B14" sqref="B14"/>
    </sheetView>
  </sheetViews>
  <sheetFormatPr baseColWidth="10" defaultRowHeight="15" x14ac:dyDescent="0.25"/>
  <cols>
    <col min="1" max="4" width="4.7109375" customWidth="1"/>
    <col min="6" max="6" width="12" customWidth="1"/>
    <col min="7" max="55" width="4.7109375" style="1" customWidth="1"/>
    <col min="56" max="60" width="4.7109375" customWidth="1"/>
  </cols>
  <sheetData>
    <row r="2" spans="2:45" x14ac:dyDescent="0.25">
      <c r="B2" s="1" t="s">
        <v>11</v>
      </c>
      <c r="C2" s="1" t="s">
        <v>12</v>
      </c>
      <c r="D2" s="1" t="s">
        <v>13</v>
      </c>
      <c r="F2" s="1" t="s">
        <v>9</v>
      </c>
      <c r="G2" s="5">
        <v>1</v>
      </c>
      <c r="H2" s="5">
        <v>2</v>
      </c>
      <c r="I2" s="5">
        <v>3</v>
      </c>
      <c r="J2" s="5">
        <v>4</v>
      </c>
      <c r="K2" s="5">
        <v>5</v>
      </c>
      <c r="L2" s="5">
        <v>6</v>
      </c>
      <c r="M2" s="5">
        <v>7</v>
      </c>
      <c r="N2" s="5">
        <v>8</v>
      </c>
      <c r="O2" s="5">
        <v>9</v>
      </c>
      <c r="P2" s="5">
        <v>10</v>
      </c>
      <c r="Q2" s="5">
        <v>11</v>
      </c>
      <c r="R2" s="5">
        <v>12</v>
      </c>
      <c r="S2" s="5">
        <v>13</v>
      </c>
      <c r="T2" s="5">
        <v>14</v>
      </c>
      <c r="U2" s="5">
        <v>15</v>
      </c>
      <c r="V2" s="5">
        <v>16</v>
      </c>
      <c r="W2" s="5">
        <v>17</v>
      </c>
      <c r="X2" s="5">
        <v>18</v>
      </c>
      <c r="Y2" s="5">
        <v>19</v>
      </c>
      <c r="Z2" s="5">
        <v>20</v>
      </c>
      <c r="AA2" s="5">
        <v>21</v>
      </c>
      <c r="AB2" s="5">
        <v>22</v>
      </c>
      <c r="AC2" s="5">
        <v>23</v>
      </c>
      <c r="AD2" s="5">
        <v>24</v>
      </c>
      <c r="AE2" s="5">
        <v>25</v>
      </c>
      <c r="AF2" s="5">
        <v>26</v>
      </c>
      <c r="AG2" s="5">
        <v>27</v>
      </c>
      <c r="AH2" s="5">
        <v>28</v>
      </c>
      <c r="AI2" s="5">
        <v>29</v>
      </c>
      <c r="AJ2" s="5">
        <v>30</v>
      </c>
      <c r="AK2" s="5">
        <v>31</v>
      </c>
      <c r="AL2" s="5">
        <v>32</v>
      </c>
      <c r="AM2" s="5">
        <v>33</v>
      </c>
      <c r="AN2" s="5">
        <v>34</v>
      </c>
      <c r="AO2" s="5">
        <v>35</v>
      </c>
      <c r="AP2" s="5">
        <v>36</v>
      </c>
      <c r="AQ2" s="5">
        <v>37</v>
      </c>
      <c r="AR2" s="5">
        <v>38</v>
      </c>
    </row>
    <row r="3" spans="2:45" x14ac:dyDescent="0.25">
      <c r="B3" s="4">
        <f t="shared" ref="B3:B12" si="0">COUNTIF(G3:AR3,"=13") + (COUNTIF(H3:AR3,"=12"))</f>
        <v>3</v>
      </c>
      <c r="C3" s="1">
        <f>COUNTIF(G3:AR3,"=1")</f>
        <v>3</v>
      </c>
      <c r="D3" s="1">
        <f>COUNTIF(G3:AR3,"&gt;7")</f>
        <v>11</v>
      </c>
      <c r="E3" t="s">
        <v>8</v>
      </c>
      <c r="F3" s="2">
        <f>COUNTIF(G3:AR3,"=8")*G$21+COUNTIF(G3:AR3,"=9")*G$22+COUNTIF(G3:AR3,"=10")*G$23+COUNTIF(G3:AR3,"=11")*G$24+COUNTIF(G3:AR3,"=12")*G$25</f>
        <v>16</v>
      </c>
      <c r="G3" s="7">
        <v>8</v>
      </c>
      <c r="H3" s="8">
        <v>8</v>
      </c>
      <c r="I3" s="8">
        <v>12</v>
      </c>
      <c r="J3" s="7">
        <v>11</v>
      </c>
      <c r="K3" s="7">
        <v>4</v>
      </c>
      <c r="L3" s="7">
        <v>2</v>
      </c>
      <c r="M3" s="7">
        <v>4</v>
      </c>
      <c r="N3" s="7">
        <v>6</v>
      </c>
      <c r="O3" s="7">
        <v>5</v>
      </c>
      <c r="P3" s="7">
        <v>6</v>
      </c>
      <c r="Q3" s="7">
        <v>12</v>
      </c>
      <c r="R3" s="7">
        <v>7</v>
      </c>
      <c r="S3" s="7">
        <v>2</v>
      </c>
      <c r="T3" s="7">
        <v>9</v>
      </c>
      <c r="U3" s="7">
        <v>5</v>
      </c>
      <c r="V3" s="7">
        <v>2</v>
      </c>
      <c r="W3" s="7">
        <v>8</v>
      </c>
      <c r="X3" s="7">
        <v>2</v>
      </c>
      <c r="Y3" s="7">
        <v>9</v>
      </c>
      <c r="Z3" s="7">
        <v>7</v>
      </c>
      <c r="AA3" s="7">
        <v>7</v>
      </c>
      <c r="AB3" s="7">
        <v>2</v>
      </c>
      <c r="AC3" s="7">
        <v>5</v>
      </c>
      <c r="AD3" s="7">
        <v>3</v>
      </c>
      <c r="AE3" s="7">
        <v>12</v>
      </c>
      <c r="AF3" s="7">
        <v>11</v>
      </c>
      <c r="AG3" s="7">
        <v>3</v>
      </c>
      <c r="AH3" s="7">
        <v>7</v>
      </c>
      <c r="AI3" s="7">
        <v>6</v>
      </c>
      <c r="AJ3" s="7">
        <v>3</v>
      </c>
      <c r="AK3" s="7">
        <v>9</v>
      </c>
      <c r="AL3" s="7">
        <v>1</v>
      </c>
      <c r="AM3" s="7">
        <v>6</v>
      </c>
      <c r="AN3" s="7">
        <v>1</v>
      </c>
      <c r="AO3" s="7">
        <v>1</v>
      </c>
      <c r="AP3" s="7">
        <v>4</v>
      </c>
      <c r="AQ3" s="7">
        <v>6</v>
      </c>
      <c r="AR3" s="7">
        <v>3</v>
      </c>
      <c r="AS3" s="4"/>
    </row>
    <row r="4" spans="2:45" x14ac:dyDescent="0.25">
      <c r="B4" s="4">
        <f t="shared" si="0"/>
        <v>3</v>
      </c>
      <c r="C4" s="1">
        <f t="shared" ref="C4:C14" si="1">COUNTIF(G4:AR4,"=1")</f>
        <v>2</v>
      </c>
      <c r="D4" s="1">
        <f t="shared" ref="D4:D14" si="2">COUNTIF(G4:AR4,"&gt;7")</f>
        <v>11</v>
      </c>
      <c r="E4" t="s">
        <v>6</v>
      </c>
      <c r="F4" s="2">
        <f>COUNTIF(G4:AR4,"=8")*G$21+COUNTIF(G4:AR4,"=9")*G$22+COUNTIF(G4:AR4,"=10")*G$23+COUNTIF(G4:AR4,"=11")*G$24+COUNTIF(G4:AR4,"=12")*G$25</f>
        <v>17.5</v>
      </c>
      <c r="G4" s="8">
        <v>2</v>
      </c>
      <c r="H4" s="8">
        <v>10</v>
      </c>
      <c r="I4" s="8">
        <v>2</v>
      </c>
      <c r="J4" s="7">
        <v>12</v>
      </c>
      <c r="K4" s="7">
        <v>9</v>
      </c>
      <c r="L4" s="7">
        <v>6</v>
      </c>
      <c r="M4" s="7">
        <v>12</v>
      </c>
      <c r="N4" s="7">
        <v>7</v>
      </c>
      <c r="O4" s="7">
        <v>7</v>
      </c>
      <c r="P4" s="7">
        <v>1</v>
      </c>
      <c r="Q4" s="7">
        <v>3</v>
      </c>
      <c r="R4" s="7">
        <v>2</v>
      </c>
      <c r="S4" s="7">
        <v>5</v>
      </c>
      <c r="T4" s="7">
        <v>5</v>
      </c>
      <c r="U4" s="7">
        <v>6</v>
      </c>
      <c r="V4" s="7">
        <v>3</v>
      </c>
      <c r="W4" s="7">
        <v>2</v>
      </c>
      <c r="X4" s="7">
        <v>4</v>
      </c>
      <c r="Y4" s="7">
        <v>4</v>
      </c>
      <c r="Z4" s="7">
        <v>6</v>
      </c>
      <c r="AA4" s="7">
        <v>4</v>
      </c>
      <c r="AB4" s="7">
        <v>3</v>
      </c>
      <c r="AC4" s="7">
        <v>4</v>
      </c>
      <c r="AD4" s="7">
        <v>8</v>
      </c>
      <c r="AE4" s="7">
        <v>2</v>
      </c>
      <c r="AF4" s="7">
        <v>2</v>
      </c>
      <c r="AG4" s="7">
        <v>1</v>
      </c>
      <c r="AH4" s="7">
        <v>11</v>
      </c>
      <c r="AI4" s="7">
        <v>11</v>
      </c>
      <c r="AJ4" s="7">
        <v>11</v>
      </c>
      <c r="AK4" s="7">
        <v>4</v>
      </c>
      <c r="AL4" s="7">
        <v>5</v>
      </c>
      <c r="AM4" s="7">
        <v>5</v>
      </c>
      <c r="AN4" s="7">
        <v>6</v>
      </c>
      <c r="AO4" s="7">
        <v>8</v>
      </c>
      <c r="AP4" s="7">
        <v>12</v>
      </c>
      <c r="AQ4" s="7">
        <v>2</v>
      </c>
      <c r="AR4" s="7">
        <v>8</v>
      </c>
      <c r="AS4" s="4"/>
    </row>
    <row r="5" spans="2:45" x14ac:dyDescent="0.25">
      <c r="B5" s="4">
        <f t="shared" si="0"/>
        <v>1</v>
      </c>
      <c r="C5" s="1">
        <f t="shared" si="1"/>
        <v>6</v>
      </c>
      <c r="D5" s="1">
        <f t="shared" si="2"/>
        <v>12</v>
      </c>
      <c r="E5" t="s">
        <v>5</v>
      </c>
      <c r="F5" s="2">
        <f>COUNTIF(G5:AR5,"=8")*G$21+COUNTIF(G5:AR5,"=9")*G$22+COUNTIF(G5:AR5,"=10")*G$23+COUNTIF(G5:AR5,"=11")*G$24+COUNTIF(G5:AR5,"=12")*G$25</f>
        <v>17.5</v>
      </c>
      <c r="G5" s="7">
        <v>12</v>
      </c>
      <c r="H5" s="8">
        <v>12</v>
      </c>
      <c r="I5" s="8">
        <v>4</v>
      </c>
      <c r="J5" s="7">
        <v>7</v>
      </c>
      <c r="K5" s="7">
        <v>1</v>
      </c>
      <c r="L5" s="7">
        <v>4</v>
      </c>
      <c r="M5" s="7">
        <v>1</v>
      </c>
      <c r="N5" s="7">
        <v>3</v>
      </c>
      <c r="O5" s="7">
        <v>10</v>
      </c>
      <c r="P5" s="7">
        <v>2</v>
      </c>
      <c r="Q5" s="7">
        <v>9</v>
      </c>
      <c r="R5" s="7">
        <v>3</v>
      </c>
      <c r="S5" s="7">
        <v>3</v>
      </c>
      <c r="T5" s="7">
        <v>2</v>
      </c>
      <c r="U5" s="7">
        <v>11</v>
      </c>
      <c r="V5" s="7">
        <v>4</v>
      </c>
      <c r="W5" s="7">
        <v>1</v>
      </c>
      <c r="X5" s="7">
        <v>5</v>
      </c>
      <c r="Y5" s="7">
        <v>7</v>
      </c>
      <c r="Z5" s="7">
        <v>2</v>
      </c>
      <c r="AA5" s="7">
        <v>3</v>
      </c>
      <c r="AB5" s="7">
        <v>5</v>
      </c>
      <c r="AC5" s="7">
        <v>7</v>
      </c>
      <c r="AD5" s="7">
        <v>5</v>
      </c>
      <c r="AE5" s="7">
        <v>5</v>
      </c>
      <c r="AF5" s="7">
        <v>10</v>
      </c>
      <c r="AG5" s="7">
        <v>6</v>
      </c>
      <c r="AH5" s="7">
        <v>1</v>
      </c>
      <c r="AI5" s="7">
        <v>1</v>
      </c>
      <c r="AJ5" s="7">
        <v>8</v>
      </c>
      <c r="AK5" s="7">
        <v>10</v>
      </c>
      <c r="AL5" s="7">
        <v>10</v>
      </c>
      <c r="AM5" s="7">
        <v>8</v>
      </c>
      <c r="AN5" s="7">
        <v>8</v>
      </c>
      <c r="AO5" s="7">
        <v>5</v>
      </c>
      <c r="AP5" s="7">
        <v>11</v>
      </c>
      <c r="AQ5" s="7">
        <v>1</v>
      </c>
      <c r="AR5" s="7">
        <v>7</v>
      </c>
      <c r="AS5" s="4"/>
    </row>
    <row r="6" spans="2:45" x14ac:dyDescent="0.25">
      <c r="B6" s="4">
        <f t="shared" si="0"/>
        <v>2</v>
      </c>
      <c r="C6" s="1">
        <f t="shared" si="1"/>
        <v>8</v>
      </c>
      <c r="D6" s="1">
        <f>COUNTIF(G6:AR6,"&gt;7")</f>
        <v>12</v>
      </c>
      <c r="E6" t="s">
        <v>2</v>
      </c>
      <c r="F6" s="2">
        <f>COUNTIF(G6:AR6,"=8")*G$21+COUNTIF(G6:AR6,"=9")*G$22+COUNTIF(G6:AR6,"=10")*G$23+COUNTIF(G6:AR6,"=11")*G$24+COUNTIF(G6:AR6,"=12")*G$25</f>
        <v>18.5</v>
      </c>
      <c r="G6" s="8">
        <v>5</v>
      </c>
      <c r="H6" s="8">
        <v>2</v>
      </c>
      <c r="I6" s="8">
        <v>1</v>
      </c>
      <c r="J6" s="7">
        <v>1</v>
      </c>
      <c r="K6" s="7">
        <v>10</v>
      </c>
      <c r="L6" s="7">
        <v>8</v>
      </c>
      <c r="M6" s="7">
        <v>11</v>
      </c>
      <c r="N6" s="7">
        <v>9</v>
      </c>
      <c r="O6" s="7">
        <v>6</v>
      </c>
      <c r="P6" s="7">
        <v>5</v>
      </c>
      <c r="Q6" s="7">
        <v>1</v>
      </c>
      <c r="R6" s="7">
        <v>12</v>
      </c>
      <c r="S6" s="7">
        <v>1</v>
      </c>
      <c r="T6" s="7">
        <v>3</v>
      </c>
      <c r="U6" s="7">
        <v>9</v>
      </c>
      <c r="V6" s="7">
        <v>5</v>
      </c>
      <c r="W6" s="7">
        <v>6</v>
      </c>
      <c r="X6" s="7">
        <v>3</v>
      </c>
      <c r="Y6" s="7">
        <v>1</v>
      </c>
      <c r="Z6" s="7">
        <v>11</v>
      </c>
      <c r="AA6" s="7">
        <v>1</v>
      </c>
      <c r="AB6" s="7">
        <v>6</v>
      </c>
      <c r="AC6" s="7">
        <v>3</v>
      </c>
      <c r="AD6" s="7">
        <v>1</v>
      </c>
      <c r="AE6" s="7">
        <v>7</v>
      </c>
      <c r="AF6" s="7">
        <v>3</v>
      </c>
      <c r="AG6" s="7">
        <v>7</v>
      </c>
      <c r="AH6" s="7">
        <v>2</v>
      </c>
      <c r="AI6" s="7">
        <v>10</v>
      </c>
      <c r="AJ6" s="7">
        <v>1</v>
      </c>
      <c r="AK6" s="7">
        <v>11</v>
      </c>
      <c r="AL6" s="7">
        <v>12</v>
      </c>
      <c r="AM6" s="7">
        <v>9</v>
      </c>
      <c r="AN6" s="7">
        <v>3</v>
      </c>
      <c r="AO6" s="7">
        <v>9</v>
      </c>
      <c r="AP6" s="7">
        <v>2</v>
      </c>
      <c r="AQ6" s="7">
        <v>7</v>
      </c>
      <c r="AR6" s="7">
        <v>2</v>
      </c>
      <c r="AS6" s="4"/>
    </row>
    <row r="7" spans="2:45" x14ac:dyDescent="0.25">
      <c r="B7" s="4">
        <f t="shared" si="0"/>
        <v>2</v>
      </c>
      <c r="C7" s="1">
        <f t="shared" si="1"/>
        <v>3</v>
      </c>
      <c r="D7" s="1">
        <f t="shared" si="2"/>
        <v>17</v>
      </c>
      <c r="E7" t="s">
        <v>0</v>
      </c>
      <c r="F7" s="2">
        <f>COUNTIF(G7:AR7,"=8")*G$21+COUNTIF(G7:AR7,"=9")*G$22+COUNTIF(G7:AR7,"=10")*G$23+COUNTIF(G7:AR7,"=11")*G$24+COUNTIF(G7:AR7,"=12")*G$25</f>
        <v>19.5</v>
      </c>
      <c r="G7" s="7">
        <v>1</v>
      </c>
      <c r="H7" s="8">
        <v>7</v>
      </c>
      <c r="I7" s="8">
        <v>5</v>
      </c>
      <c r="J7" s="7">
        <v>4</v>
      </c>
      <c r="K7" s="7">
        <v>3</v>
      </c>
      <c r="L7" s="7">
        <v>9</v>
      </c>
      <c r="M7" s="7">
        <v>10</v>
      </c>
      <c r="N7" s="7">
        <v>4</v>
      </c>
      <c r="O7" s="7">
        <v>8</v>
      </c>
      <c r="P7" s="7">
        <v>8</v>
      </c>
      <c r="Q7" s="7">
        <v>2</v>
      </c>
      <c r="R7" s="7">
        <v>8</v>
      </c>
      <c r="S7" s="7">
        <v>6</v>
      </c>
      <c r="T7" s="7">
        <v>4</v>
      </c>
      <c r="U7" s="7">
        <v>2</v>
      </c>
      <c r="V7" s="7">
        <v>9</v>
      </c>
      <c r="W7" s="7">
        <v>5</v>
      </c>
      <c r="X7" s="7">
        <v>8</v>
      </c>
      <c r="Y7" s="7">
        <v>12</v>
      </c>
      <c r="Z7" s="7">
        <v>10</v>
      </c>
      <c r="AA7" s="7">
        <v>12</v>
      </c>
      <c r="AB7" s="7">
        <v>4</v>
      </c>
      <c r="AC7" s="7">
        <v>1</v>
      </c>
      <c r="AD7" s="7">
        <v>4</v>
      </c>
      <c r="AE7" s="7">
        <v>1</v>
      </c>
      <c r="AF7" s="7">
        <v>5</v>
      </c>
      <c r="AG7" s="7">
        <v>4</v>
      </c>
      <c r="AH7" s="7">
        <v>8</v>
      </c>
      <c r="AI7" s="7">
        <v>5</v>
      </c>
      <c r="AJ7" s="7">
        <v>9</v>
      </c>
      <c r="AK7" s="7">
        <v>2</v>
      </c>
      <c r="AL7" s="7">
        <v>9</v>
      </c>
      <c r="AM7" s="7">
        <v>7</v>
      </c>
      <c r="AN7" s="7">
        <v>11</v>
      </c>
      <c r="AO7" s="7">
        <v>7</v>
      </c>
      <c r="AP7" s="7">
        <v>10</v>
      </c>
      <c r="AQ7" s="7">
        <v>8</v>
      </c>
      <c r="AR7" s="7">
        <v>9</v>
      </c>
      <c r="AS7" s="4"/>
    </row>
    <row r="8" spans="2:45" x14ac:dyDescent="0.25">
      <c r="B8" s="4">
        <f t="shared" si="0"/>
        <v>2</v>
      </c>
      <c r="C8" s="1">
        <f t="shared" si="1"/>
        <v>2</v>
      </c>
      <c r="D8" s="1">
        <f t="shared" si="2"/>
        <v>16</v>
      </c>
      <c r="E8" t="s">
        <v>1</v>
      </c>
      <c r="F8" s="2">
        <f>COUNTIF(G8:AR8,"=8")*G$21+COUNTIF(G8:AR8,"=9")*G$22+COUNTIF(G8:AR8,"=10")*G$23+COUNTIF(G8:AR8,"=11")*G$24+COUNTIF(G8:AR8,"=12")*G$25</f>
        <v>21</v>
      </c>
      <c r="G8" s="7">
        <v>7</v>
      </c>
      <c r="H8" s="8">
        <v>11</v>
      </c>
      <c r="I8" s="8">
        <v>6</v>
      </c>
      <c r="J8" s="7">
        <v>6</v>
      </c>
      <c r="K8" s="7">
        <v>7</v>
      </c>
      <c r="L8" s="7">
        <v>7</v>
      </c>
      <c r="M8" s="7">
        <v>5</v>
      </c>
      <c r="N8" s="7">
        <v>10</v>
      </c>
      <c r="O8" s="7">
        <v>3</v>
      </c>
      <c r="P8" s="7">
        <v>4</v>
      </c>
      <c r="Q8" s="7">
        <v>8</v>
      </c>
      <c r="R8" s="7">
        <v>4</v>
      </c>
      <c r="S8" s="7">
        <v>9</v>
      </c>
      <c r="T8" s="7">
        <v>11</v>
      </c>
      <c r="U8" s="7">
        <v>4</v>
      </c>
      <c r="V8" s="7">
        <v>10</v>
      </c>
      <c r="W8" s="7">
        <v>9</v>
      </c>
      <c r="X8" s="7">
        <v>1</v>
      </c>
      <c r="Y8" s="7">
        <v>10</v>
      </c>
      <c r="Z8" s="7">
        <v>5</v>
      </c>
      <c r="AA8" s="7">
        <v>5</v>
      </c>
      <c r="AB8" s="7">
        <v>9</v>
      </c>
      <c r="AC8" s="7">
        <v>12</v>
      </c>
      <c r="AD8" s="7">
        <v>7</v>
      </c>
      <c r="AE8" s="7">
        <v>3</v>
      </c>
      <c r="AF8" s="7">
        <v>7</v>
      </c>
      <c r="AG8" s="7">
        <v>8</v>
      </c>
      <c r="AH8" s="7">
        <v>9</v>
      </c>
      <c r="AI8" s="7">
        <v>2</v>
      </c>
      <c r="AJ8" s="7">
        <v>10</v>
      </c>
      <c r="AK8" s="7">
        <v>1</v>
      </c>
      <c r="AL8" s="7">
        <v>8</v>
      </c>
      <c r="AM8" s="7">
        <v>2</v>
      </c>
      <c r="AN8" s="7">
        <v>7</v>
      </c>
      <c r="AO8" s="7">
        <v>2</v>
      </c>
      <c r="AP8" s="7">
        <v>8</v>
      </c>
      <c r="AQ8" s="7">
        <v>3</v>
      </c>
      <c r="AR8" s="7">
        <v>12</v>
      </c>
      <c r="AS8" s="4"/>
    </row>
    <row r="9" spans="2:45" x14ac:dyDescent="0.25">
      <c r="B9" s="4">
        <f t="shared" si="0"/>
        <v>1</v>
      </c>
      <c r="C9" s="1">
        <f t="shared" si="1"/>
        <v>5</v>
      </c>
      <c r="D9" s="1">
        <f t="shared" si="2"/>
        <v>16</v>
      </c>
      <c r="E9" t="s">
        <v>20</v>
      </c>
      <c r="F9" s="2">
        <f>COUNTIF(G9:AR9,"=8")*G$21+COUNTIF(G9:AR9,"=9")*G$22+COUNTIF(G9:AR9,"=10")*G$23+COUNTIF(G9:AR9,"=11")*G$24+COUNTIF(G9:AR9,"=12")*G$25+COUNTIF(G9:AR9,"=13")*3</f>
        <v>21.5</v>
      </c>
      <c r="G9" s="7">
        <v>13</v>
      </c>
      <c r="H9" s="8">
        <v>9</v>
      </c>
      <c r="I9" s="8">
        <v>3</v>
      </c>
      <c r="J9" s="7">
        <v>2</v>
      </c>
      <c r="K9" s="7">
        <v>5</v>
      </c>
      <c r="L9" s="7">
        <v>10</v>
      </c>
      <c r="M9" s="7">
        <v>7</v>
      </c>
      <c r="N9" s="7">
        <v>11</v>
      </c>
      <c r="O9" s="7">
        <v>1</v>
      </c>
      <c r="P9" s="7">
        <v>10</v>
      </c>
      <c r="Q9" s="7">
        <v>6</v>
      </c>
      <c r="R9" s="7">
        <v>10</v>
      </c>
      <c r="S9" s="7">
        <v>8</v>
      </c>
      <c r="T9" s="7">
        <v>1</v>
      </c>
      <c r="U9" s="7">
        <v>3</v>
      </c>
      <c r="V9" s="7">
        <v>7</v>
      </c>
      <c r="W9" s="7">
        <v>4</v>
      </c>
      <c r="X9" s="7">
        <v>9</v>
      </c>
      <c r="Y9" s="7">
        <v>11</v>
      </c>
      <c r="Z9" s="7">
        <v>3</v>
      </c>
      <c r="AA9" s="7">
        <v>2</v>
      </c>
      <c r="AB9" s="7">
        <v>1</v>
      </c>
      <c r="AC9" s="7">
        <v>10</v>
      </c>
      <c r="AD9" s="7">
        <v>10</v>
      </c>
      <c r="AE9" s="7">
        <v>8</v>
      </c>
      <c r="AF9" s="7">
        <v>8</v>
      </c>
      <c r="AG9" s="7">
        <v>9</v>
      </c>
      <c r="AH9" s="7">
        <v>3</v>
      </c>
      <c r="AI9" s="7">
        <v>4</v>
      </c>
      <c r="AJ9" s="7">
        <v>2</v>
      </c>
      <c r="AK9" s="7">
        <v>7</v>
      </c>
      <c r="AL9" s="7">
        <v>3</v>
      </c>
      <c r="AM9" s="7">
        <v>3</v>
      </c>
      <c r="AN9" s="7">
        <v>9</v>
      </c>
      <c r="AO9" s="7">
        <v>3</v>
      </c>
      <c r="AP9" s="7">
        <v>1</v>
      </c>
      <c r="AQ9" s="7">
        <v>10</v>
      </c>
      <c r="AR9" s="7">
        <v>1</v>
      </c>
      <c r="AS9" s="4"/>
    </row>
    <row r="10" spans="2:45" x14ac:dyDescent="0.25">
      <c r="B10" s="4">
        <f t="shared" si="0"/>
        <v>4</v>
      </c>
      <c r="C10" s="1">
        <f t="shared" ref="C10" si="3">COUNTIF(G10:AR10,"=1")</f>
        <v>3</v>
      </c>
      <c r="D10" s="1">
        <f t="shared" ref="D10" si="4">COUNTIF(G10:AR10,"&gt;7")</f>
        <v>14</v>
      </c>
      <c r="E10" t="s">
        <v>17</v>
      </c>
      <c r="F10" s="2">
        <f>COUNTIF(G10:AR10,"=8")*G$21+COUNTIF(G10:AR10,"=9")*G$22+COUNTIF(G10:AR10,"=10")*G$23+COUNTIF(G10:AR10,"=11")*G$24+COUNTIF(G10:AR10,"=12")*G$25</f>
        <v>25</v>
      </c>
      <c r="G10" s="8">
        <v>11</v>
      </c>
      <c r="H10" s="8">
        <v>4</v>
      </c>
      <c r="I10" s="8">
        <v>9</v>
      </c>
      <c r="J10" s="7">
        <v>5</v>
      </c>
      <c r="K10" s="7">
        <v>11</v>
      </c>
      <c r="L10" s="7">
        <v>12</v>
      </c>
      <c r="M10" s="7">
        <v>6</v>
      </c>
      <c r="N10" s="7">
        <v>2</v>
      </c>
      <c r="O10" s="7">
        <v>4</v>
      </c>
      <c r="P10" s="7">
        <v>3</v>
      </c>
      <c r="Q10" s="7">
        <v>11</v>
      </c>
      <c r="R10" s="7">
        <v>11</v>
      </c>
      <c r="S10" s="7">
        <v>10</v>
      </c>
      <c r="T10" s="7">
        <v>6</v>
      </c>
      <c r="U10" s="7">
        <v>12</v>
      </c>
      <c r="V10" s="7">
        <v>1</v>
      </c>
      <c r="W10" s="7">
        <v>12</v>
      </c>
      <c r="X10" s="7">
        <v>10</v>
      </c>
      <c r="Y10" s="7">
        <v>6</v>
      </c>
      <c r="Z10" s="7">
        <v>9</v>
      </c>
      <c r="AA10" s="7">
        <v>6</v>
      </c>
      <c r="AB10" s="7">
        <v>12</v>
      </c>
      <c r="AC10" s="7">
        <v>8</v>
      </c>
      <c r="AD10" s="7">
        <v>2</v>
      </c>
      <c r="AE10" s="7">
        <v>4</v>
      </c>
      <c r="AF10" s="7">
        <v>1</v>
      </c>
      <c r="AG10" s="7">
        <v>2</v>
      </c>
      <c r="AH10" s="7">
        <v>4</v>
      </c>
      <c r="AI10" s="7">
        <v>3</v>
      </c>
      <c r="AJ10" s="7">
        <v>5</v>
      </c>
      <c r="AK10" s="7">
        <v>6</v>
      </c>
      <c r="AL10" s="7">
        <v>2</v>
      </c>
      <c r="AM10" s="7">
        <v>1</v>
      </c>
      <c r="AN10" s="7">
        <v>5</v>
      </c>
      <c r="AO10" s="7">
        <v>4</v>
      </c>
      <c r="AP10" s="7">
        <v>5</v>
      </c>
      <c r="AQ10" s="7">
        <v>5</v>
      </c>
      <c r="AR10" s="7">
        <v>10</v>
      </c>
      <c r="AS10" s="4"/>
    </row>
    <row r="11" spans="2:45" x14ac:dyDescent="0.25">
      <c r="B11" s="4">
        <f t="shared" si="0"/>
        <v>3</v>
      </c>
      <c r="C11" s="1">
        <f t="shared" si="1"/>
        <v>1</v>
      </c>
      <c r="D11" s="1">
        <f t="shared" si="2"/>
        <v>20</v>
      </c>
      <c r="E11" t="s">
        <v>7</v>
      </c>
      <c r="F11" s="2">
        <f>COUNTIF(G11:AR11,"=8")*G$21+COUNTIF(G11:AR11,"=9")*G$22+COUNTIF(G11:AR11,"=10")*G$23+COUNTIF(G11:AR11,"=11")*G$24+COUNTIF(G11:AR11,"=12")*G$25</f>
        <v>30</v>
      </c>
      <c r="G11" s="7">
        <v>6</v>
      </c>
      <c r="H11" s="8">
        <v>1</v>
      </c>
      <c r="I11" s="8">
        <v>7</v>
      </c>
      <c r="J11" s="7">
        <v>9</v>
      </c>
      <c r="K11" s="7">
        <v>2</v>
      </c>
      <c r="L11" s="7">
        <v>5</v>
      </c>
      <c r="M11" s="7">
        <v>8</v>
      </c>
      <c r="N11" s="7">
        <v>12</v>
      </c>
      <c r="O11" s="7">
        <v>9</v>
      </c>
      <c r="P11" s="7">
        <v>12</v>
      </c>
      <c r="Q11" s="7">
        <v>10</v>
      </c>
      <c r="R11" s="7">
        <v>9</v>
      </c>
      <c r="S11" s="7">
        <v>4</v>
      </c>
      <c r="T11" s="7">
        <v>7</v>
      </c>
      <c r="U11" s="7">
        <v>7</v>
      </c>
      <c r="V11" s="7">
        <v>8</v>
      </c>
      <c r="W11" s="7">
        <v>10</v>
      </c>
      <c r="X11" s="7">
        <v>6</v>
      </c>
      <c r="Y11" s="7">
        <v>2</v>
      </c>
      <c r="Z11" s="7">
        <v>4</v>
      </c>
      <c r="AA11" s="7">
        <v>10</v>
      </c>
      <c r="AB11" s="7">
        <v>7</v>
      </c>
      <c r="AC11" s="7">
        <v>2</v>
      </c>
      <c r="AD11" s="7">
        <v>9</v>
      </c>
      <c r="AE11" s="7">
        <v>11</v>
      </c>
      <c r="AF11" s="7">
        <v>9</v>
      </c>
      <c r="AG11" s="7">
        <v>10</v>
      </c>
      <c r="AH11" s="7">
        <v>5</v>
      </c>
      <c r="AI11" s="7">
        <v>12</v>
      </c>
      <c r="AJ11" s="7">
        <v>4</v>
      </c>
      <c r="AK11" s="7">
        <v>3</v>
      </c>
      <c r="AL11" s="7">
        <v>11</v>
      </c>
      <c r="AM11" s="7">
        <v>4</v>
      </c>
      <c r="AN11" s="7">
        <v>10</v>
      </c>
      <c r="AO11" s="7">
        <v>11</v>
      </c>
      <c r="AP11" s="7">
        <v>9</v>
      </c>
      <c r="AQ11" s="7">
        <v>11</v>
      </c>
      <c r="AR11" s="7">
        <v>5</v>
      </c>
      <c r="AS11" s="4"/>
    </row>
    <row r="12" spans="2:45" x14ac:dyDescent="0.25">
      <c r="B12" s="4">
        <f t="shared" si="0"/>
        <v>1</v>
      </c>
      <c r="C12" s="1">
        <f t="shared" si="1"/>
        <v>2</v>
      </c>
      <c r="D12" s="1">
        <f t="shared" si="2"/>
        <v>20</v>
      </c>
      <c r="E12" t="s">
        <v>18</v>
      </c>
      <c r="F12" s="2">
        <f>COUNTIF(G12:AR12,"=8")*G$21+COUNTIF(G12:AR12,"=9")*G$22+COUNTIF(G12:AR12,"=10")*G$23+COUNTIF(G12:AR12,"=11")*G$24+COUNTIF(G12:AR12,"=12")*G$25</f>
        <v>31</v>
      </c>
      <c r="G12" s="8">
        <v>4</v>
      </c>
      <c r="H12" s="8">
        <v>3</v>
      </c>
      <c r="I12" s="8">
        <v>11</v>
      </c>
      <c r="J12" s="7">
        <v>10</v>
      </c>
      <c r="K12" s="7">
        <v>8</v>
      </c>
      <c r="L12" s="7">
        <v>1</v>
      </c>
      <c r="M12" s="7">
        <v>2</v>
      </c>
      <c r="N12" s="7">
        <v>1</v>
      </c>
      <c r="O12" s="7">
        <v>11</v>
      </c>
      <c r="P12" s="7">
        <v>11</v>
      </c>
      <c r="Q12" s="7">
        <v>7</v>
      </c>
      <c r="R12" s="7">
        <v>6</v>
      </c>
      <c r="S12" s="7">
        <v>12</v>
      </c>
      <c r="T12" s="7">
        <v>10</v>
      </c>
      <c r="U12" s="7">
        <v>8</v>
      </c>
      <c r="V12" s="7">
        <v>11</v>
      </c>
      <c r="W12" s="7">
        <v>11</v>
      </c>
      <c r="X12" s="7">
        <v>11</v>
      </c>
      <c r="Y12" s="7">
        <v>8</v>
      </c>
      <c r="Z12" s="7">
        <v>8</v>
      </c>
      <c r="AA12" s="7">
        <v>11</v>
      </c>
      <c r="AB12" s="7">
        <v>8</v>
      </c>
      <c r="AC12" s="7">
        <v>11</v>
      </c>
      <c r="AD12" s="7">
        <v>11</v>
      </c>
      <c r="AE12" s="7">
        <v>6</v>
      </c>
      <c r="AF12" s="7">
        <v>4</v>
      </c>
      <c r="AG12" s="7">
        <v>11</v>
      </c>
      <c r="AH12" s="7">
        <v>10</v>
      </c>
      <c r="AI12" s="7">
        <v>7</v>
      </c>
      <c r="AJ12" s="7">
        <v>7</v>
      </c>
      <c r="AK12" s="7">
        <v>5</v>
      </c>
      <c r="AL12" s="7">
        <v>6</v>
      </c>
      <c r="AM12" s="7">
        <v>10</v>
      </c>
      <c r="AN12" s="7">
        <v>4</v>
      </c>
      <c r="AO12" s="7">
        <v>6</v>
      </c>
      <c r="AP12" s="7">
        <v>3</v>
      </c>
      <c r="AQ12" s="7">
        <v>4</v>
      </c>
      <c r="AR12" s="7">
        <v>4</v>
      </c>
      <c r="AS12" s="4"/>
    </row>
    <row r="13" spans="2:45" x14ac:dyDescent="0.25">
      <c r="B13" s="4">
        <f>COUNTIF(G13:AR13,"=13") + (COUNTIF(H13:AR13,"=12"))</f>
        <v>7</v>
      </c>
      <c r="C13" s="1">
        <f t="shared" si="1"/>
        <v>1</v>
      </c>
      <c r="D13" s="1">
        <f>COUNTIF(G13:AR13,"&gt;7")</f>
        <v>21</v>
      </c>
      <c r="E13" t="s">
        <v>4</v>
      </c>
      <c r="F13" s="2">
        <f>COUNTIF(G13:AR13,"=8")*G$21+COUNTIF(G13:AR13,"=9")*G$22+COUNTIF(G13:AR13,"=10")*G$23+COUNTIF(G13:AR13,"=11")*G$24+COUNTIF(G13:AR13,"=12")*G$25</f>
        <v>33</v>
      </c>
      <c r="G13" s="7">
        <v>9</v>
      </c>
      <c r="H13" s="8">
        <v>6</v>
      </c>
      <c r="I13" s="8">
        <v>8</v>
      </c>
      <c r="J13" s="7">
        <v>3</v>
      </c>
      <c r="K13" s="7">
        <v>12</v>
      </c>
      <c r="L13" s="7">
        <v>11</v>
      </c>
      <c r="M13" s="7">
        <v>9</v>
      </c>
      <c r="N13" s="7">
        <v>5</v>
      </c>
      <c r="O13" s="7">
        <v>2</v>
      </c>
      <c r="P13" s="7">
        <v>9</v>
      </c>
      <c r="Q13" s="7">
        <v>4</v>
      </c>
      <c r="R13" s="7">
        <v>5</v>
      </c>
      <c r="S13" s="7">
        <v>7</v>
      </c>
      <c r="T13" s="7">
        <v>8</v>
      </c>
      <c r="U13" s="7">
        <v>10</v>
      </c>
      <c r="V13" s="7">
        <v>6</v>
      </c>
      <c r="W13" s="7">
        <v>3</v>
      </c>
      <c r="X13" s="7">
        <v>7</v>
      </c>
      <c r="Y13" s="7">
        <v>3</v>
      </c>
      <c r="Z13" s="7">
        <v>1</v>
      </c>
      <c r="AA13" s="7">
        <v>8</v>
      </c>
      <c r="AB13" s="7">
        <v>10</v>
      </c>
      <c r="AC13" s="7">
        <v>9</v>
      </c>
      <c r="AD13" s="7">
        <v>6</v>
      </c>
      <c r="AE13" s="7">
        <v>10</v>
      </c>
      <c r="AF13" s="7">
        <v>12</v>
      </c>
      <c r="AG13" s="7">
        <v>12</v>
      </c>
      <c r="AH13" s="7">
        <v>6</v>
      </c>
      <c r="AI13" s="7">
        <v>8</v>
      </c>
      <c r="AJ13" s="7">
        <v>6</v>
      </c>
      <c r="AK13" s="7">
        <v>12</v>
      </c>
      <c r="AL13" s="7">
        <v>7</v>
      </c>
      <c r="AM13" s="7">
        <v>12</v>
      </c>
      <c r="AN13" s="7">
        <v>12</v>
      </c>
      <c r="AO13" s="7">
        <v>12</v>
      </c>
      <c r="AP13" s="7">
        <v>7</v>
      </c>
      <c r="AQ13" s="7">
        <v>9</v>
      </c>
      <c r="AR13" s="7">
        <v>11</v>
      </c>
      <c r="AS13" s="4"/>
    </row>
    <row r="14" spans="2:45" x14ac:dyDescent="0.25">
      <c r="B14" s="4">
        <f>COUNTIF(G14:AR14,"=13") + (COUNTIF(H14:AR14,"=12"))</f>
        <v>9</v>
      </c>
      <c r="C14" s="1">
        <f t="shared" si="1"/>
        <v>2</v>
      </c>
      <c r="D14" s="1">
        <f t="shared" si="2"/>
        <v>20</v>
      </c>
      <c r="E14" t="s">
        <v>3</v>
      </c>
      <c r="F14" s="2">
        <f>COUNTIF(G14:AR14,"=8")*G$21+COUNTIF(G14:AR14,"=9")*G$22+COUNTIF(G14:AR14,"=10")*G$23+COUNTIF(G14:AR14,"=11")*G$24+COUNTIF(G14:AR14,"=12")*G$25</f>
        <v>36</v>
      </c>
      <c r="G14" s="8">
        <v>3</v>
      </c>
      <c r="H14" s="8">
        <v>5</v>
      </c>
      <c r="I14" s="8">
        <v>10</v>
      </c>
      <c r="J14" s="7">
        <v>8</v>
      </c>
      <c r="K14" s="7">
        <v>6</v>
      </c>
      <c r="L14" s="7">
        <v>3</v>
      </c>
      <c r="M14" s="7">
        <v>3</v>
      </c>
      <c r="N14" s="7">
        <v>8</v>
      </c>
      <c r="O14" s="7">
        <v>12</v>
      </c>
      <c r="P14" s="7">
        <v>7</v>
      </c>
      <c r="Q14" s="7">
        <v>5</v>
      </c>
      <c r="R14" s="7">
        <v>1</v>
      </c>
      <c r="S14" s="7">
        <v>11</v>
      </c>
      <c r="T14" s="7">
        <v>12</v>
      </c>
      <c r="U14" s="7">
        <v>1</v>
      </c>
      <c r="V14" s="7">
        <v>12</v>
      </c>
      <c r="W14" s="7">
        <v>7</v>
      </c>
      <c r="X14" s="7">
        <v>12</v>
      </c>
      <c r="Y14" s="7">
        <v>5</v>
      </c>
      <c r="Z14" s="7">
        <v>12</v>
      </c>
      <c r="AA14" s="7">
        <v>9</v>
      </c>
      <c r="AB14" s="7">
        <v>11</v>
      </c>
      <c r="AC14" s="7">
        <v>6</v>
      </c>
      <c r="AD14" s="7">
        <v>12</v>
      </c>
      <c r="AE14" s="7">
        <v>9</v>
      </c>
      <c r="AF14" s="7">
        <v>6</v>
      </c>
      <c r="AG14" s="7">
        <v>5</v>
      </c>
      <c r="AH14" s="7">
        <v>12</v>
      </c>
      <c r="AI14" s="7">
        <v>9</v>
      </c>
      <c r="AJ14" s="7">
        <v>12</v>
      </c>
      <c r="AK14" s="7">
        <v>8</v>
      </c>
      <c r="AL14" s="7">
        <v>4</v>
      </c>
      <c r="AM14" s="7">
        <v>11</v>
      </c>
      <c r="AN14" s="7">
        <v>2</v>
      </c>
      <c r="AO14" s="7">
        <v>10</v>
      </c>
      <c r="AP14" s="7">
        <v>6</v>
      </c>
      <c r="AQ14" s="7">
        <v>12</v>
      </c>
      <c r="AR14" s="7">
        <v>6</v>
      </c>
      <c r="AS14" s="4"/>
    </row>
    <row r="15" spans="2:45" x14ac:dyDescent="0.25">
      <c r="B15" s="1"/>
      <c r="C15" s="1"/>
      <c r="D15" s="1"/>
      <c r="F15" s="2"/>
      <c r="G15" s="7"/>
      <c r="H15" s="8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4"/>
    </row>
    <row r="16" spans="2:45" x14ac:dyDescent="0.25">
      <c r="B16">
        <v>1</v>
      </c>
      <c r="C16">
        <v>0</v>
      </c>
      <c r="D16">
        <v>2</v>
      </c>
      <c r="E16" s="1" t="s">
        <v>19</v>
      </c>
      <c r="F16" s="1">
        <v>4.5</v>
      </c>
      <c r="G16" s="8">
        <v>10</v>
      </c>
      <c r="H16" s="7">
        <v>13</v>
      </c>
    </row>
    <row r="17" spans="2:45" x14ac:dyDescent="0.25">
      <c r="E17" t="s">
        <v>10</v>
      </c>
      <c r="F17" s="6">
        <f>SUM(F3:F14)+F16</f>
        <v>291</v>
      </c>
      <c r="AS17" s="4"/>
    </row>
    <row r="18" spans="2:45" x14ac:dyDescent="0.25">
      <c r="B18" s="1"/>
      <c r="C18" s="1"/>
      <c r="D18" s="1"/>
    </row>
    <row r="21" spans="2:45" x14ac:dyDescent="0.25">
      <c r="F21">
        <v>8</v>
      </c>
      <c r="G21" s="3">
        <v>0.5</v>
      </c>
      <c r="J21" s="5" t="s">
        <v>15</v>
      </c>
      <c r="N21" s="1">
        <f>SUM(G21:G25)*38</f>
        <v>285</v>
      </c>
    </row>
    <row r="22" spans="2:45" x14ac:dyDescent="0.25">
      <c r="F22">
        <v>9</v>
      </c>
      <c r="G22" s="2">
        <v>1</v>
      </c>
      <c r="J22" s="5" t="s">
        <v>16</v>
      </c>
      <c r="N22" s="1">
        <f>N21/13</f>
        <v>21.923076923076923</v>
      </c>
    </row>
    <row r="23" spans="2:45" x14ac:dyDescent="0.25">
      <c r="F23">
        <v>10</v>
      </c>
      <c r="G23" s="2">
        <v>1.5</v>
      </c>
    </row>
    <row r="24" spans="2:45" x14ac:dyDescent="0.25">
      <c r="F24">
        <v>11</v>
      </c>
      <c r="G24" s="2">
        <v>2</v>
      </c>
    </row>
    <row r="25" spans="2:45" x14ac:dyDescent="0.25">
      <c r="C25" t="s">
        <v>14</v>
      </c>
      <c r="F25">
        <v>12</v>
      </c>
      <c r="G25" s="2">
        <v>2.5</v>
      </c>
    </row>
    <row r="26" spans="2:45" x14ac:dyDescent="0.25">
      <c r="V26"/>
    </row>
  </sheetData>
  <autoFilter ref="E2:AR14">
    <sortState ref="E3:AR14">
      <sortCondition ref="F2:F14"/>
    </sortState>
  </autoFilter>
  <phoneticPr fontId="1" type="noConversion"/>
  <conditionalFormatting sqref="G21:G25">
    <cfRule type="colorScale" priority="42">
      <colorScale>
        <cfvo type="min"/>
        <cfvo type="max"/>
        <color theme="7" tint="0.59999389629810485"/>
        <color rgb="FFFF5D5D"/>
      </colorScale>
    </cfRule>
    <cfRule type="colorScale" priority="43">
      <colorScale>
        <cfvo type="num" val="$G$25"/>
        <cfvo type="num" val="$G$21"/>
        <color rgb="FFFF5D5D"/>
        <color rgb="FFFFEF9C"/>
      </colorScale>
    </cfRule>
    <cfRule type="colorScale" priority="44">
      <colorScale>
        <cfvo type="num" val="$G$25"/>
        <cfvo type="num" val="$G$21"/>
        <color rgb="FFFF5D5D"/>
        <color rgb="FFFFEF9C"/>
      </colorScale>
    </cfRule>
    <cfRule type="colorScale" priority="45">
      <colorScale>
        <cfvo type="min"/>
        <cfvo type="max"/>
        <color rgb="FFFF5D5D"/>
        <color rgb="FFFFEF9C"/>
      </colorScale>
    </cfRule>
  </conditionalFormatting>
  <conditionalFormatting sqref="G3:AR15">
    <cfRule type="cellIs" dxfId="20" priority="15" operator="equal">
      <formula>13</formula>
    </cfRule>
    <cfRule type="cellIs" dxfId="19" priority="22" operator="equal">
      <formula>8</formula>
    </cfRule>
    <cfRule type="cellIs" dxfId="18" priority="23" operator="equal">
      <formula>8</formula>
    </cfRule>
    <cfRule type="cellIs" dxfId="17" priority="24" operator="equal">
      <formula>9</formula>
    </cfRule>
    <cfRule type="cellIs" dxfId="16" priority="25" operator="equal">
      <formula>10</formula>
    </cfRule>
    <cfRule type="cellIs" dxfId="15" priority="26" operator="equal">
      <formula>11</formula>
    </cfRule>
    <cfRule type="cellIs" dxfId="14" priority="27" operator="equal">
      <formula>12</formula>
    </cfRule>
  </conditionalFormatting>
  <conditionalFormatting sqref="B3:B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5">
    <cfRule type="colorScale" priority="47">
      <colorScale>
        <cfvo type="min"/>
        <cfvo type="percent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">
    <cfRule type="cellIs" dxfId="13" priority="8" operator="equal">
      <formula>13</formula>
    </cfRule>
    <cfRule type="cellIs" dxfId="12" priority="9" operator="equal">
      <formula>8</formula>
    </cfRule>
    <cfRule type="cellIs" dxfId="11" priority="10" operator="equal">
      <formula>8</formula>
    </cfRule>
    <cfRule type="cellIs" dxfId="10" priority="11" operator="equal">
      <formula>9</formula>
    </cfRule>
    <cfRule type="cellIs" dxfId="9" priority="12" operator="equal">
      <formula>10</formula>
    </cfRule>
    <cfRule type="cellIs" dxfId="8" priority="13" operator="equal">
      <formula>11</formula>
    </cfRule>
    <cfRule type="cellIs" dxfId="7" priority="14" operator="equal">
      <formula>12</formula>
    </cfRule>
  </conditionalFormatting>
  <conditionalFormatting sqref="G16">
    <cfRule type="cellIs" dxfId="6" priority="1" operator="equal">
      <formula>13</formula>
    </cfRule>
    <cfRule type="cellIs" dxfId="5" priority="2" operator="equal">
      <formula>8</formula>
    </cfRule>
    <cfRule type="cellIs" dxfId="4" priority="3" operator="equal">
      <formula>8</formula>
    </cfRule>
    <cfRule type="cellIs" dxfId="3" priority="4" operator="equal">
      <formula>9</formula>
    </cfRule>
    <cfRule type="cellIs" dxfId="2" priority="5" operator="equal">
      <formula>10</formula>
    </cfRule>
    <cfRule type="cellIs" dxfId="1" priority="6" operator="equal">
      <formula>11</formula>
    </cfRule>
    <cfRule type="cellIs" dxfId="0" priority="7" operator="equal">
      <formula>12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Santos, Pablo</dc:creator>
  <cp:lastModifiedBy>Raúl Ramírez de Cartagena</cp:lastModifiedBy>
  <dcterms:created xsi:type="dcterms:W3CDTF">2023-10-05T14:56:37Z</dcterms:created>
  <dcterms:modified xsi:type="dcterms:W3CDTF">2026-05-25T06:22:39Z</dcterms:modified>
</cp:coreProperties>
</file>